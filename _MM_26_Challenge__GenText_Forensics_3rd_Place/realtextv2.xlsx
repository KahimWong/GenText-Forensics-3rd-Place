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<sst xmlns="http://schemas.openxmlformats.org/spreadsheetml/2006/main" count="91" uniqueCount="50">
  <si>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Model</t>
  </si>
  <si>
    <t>Loc-F1</t>
  </si>
  <si>
    <t>Det-F1</t>
  </si>
  <si>
    <t>T-SROIE</t>
  </si>
  <si>
    <t>OSTF</t>
  </si>
  <si>
    <t>TPIC-13</t>
  </si>
  <si>
    <t>RTM</t>
  </si>
  <si>
    <t>Avg</t>
  </si>
  <si>
    <t>lora1, 5k, 20b, wo jpegaug, train+syn(pair real&amp;fake), val b=1, 512imgsize, DCTEncV2</t>
  </si>
  <si>
    <t>lora1, 5k, 20b, wo jpegaug, syn(pair real&amp;fake), val b=1, 1280imgsize (val pad), .9thresh</t>
  </si>
  <si>
    <t>lora1, 5k, 20b, wo jpegaug, syn(pair real&amp;fake), val b=1, 1280imgsize (val resize)</t>
  </si>
  <si>
    <t>lora1, 5k, 20b, wo jpegaug, syn(pair real&amp;fake), val b=1, 1024imgsize (val resize)</t>
  </si>
  <si>
    <t xml:space="preserve">  </t>
  </si>
  <si>
    <t>lora1, 5k, 20b, wo jpegaug, syn(pair real&amp;fake), val b=1, 786imgsize (val resize)</t>
  </si>
  <si>
    <t>lora1, 5k, 20b, wo jpegaug, syn(pair real&amp;fake), val b=1</t>
  </si>
  <si>
    <t>6expert, lora1, 5k, 20b, wo jpegaug</t>
  </si>
  <si>
    <t>lora1, 5k, 20b, wo jpegaug, train+syn(pair real&amp;fake), val b=1, 512imgsize</t>
  </si>
  <si>
    <t>lora1, 5k, 20b, wo jpegaug, train+syn(pair real&amp;fake)</t>
  </si>
  <si>
    <t>lora1, 5k, 20b, wo jpegaug, train+syn data</t>
  </si>
  <si>
    <t>lora1, 2k, 20b, wo jpegaug</t>
  </si>
  <si>
    <t>lora1, 5k, 20b, wo jpegaug</t>
  </si>
  <si>
    <t>lora1(mlp), 5k, 20b</t>
  </si>
  <si>
    <t>lora1, 5k, 20b</t>
  </si>
  <si>
    <t>lora32, 5k, 20b</t>
  </si>
  <si>
    <t>lora32, 10k, 20b</t>
  </si>
  <si>
    <t>lora32, 10k, 60b</t>
  </si>
  <si>
    <t>lora1, 5k, 20b, wo jpegaug, train+syn(pair real&amp;fake), val b=1, 512imgsize, .99thresh</t>
  </si>
  <si>
    <t>lora1, 5k, 20b, wo jpegaug, train+syn(pair real&amp;fake), val b=1, 512imgsize, .9thresh</t>
  </si>
  <si>
    <t>5k</t>
  </si>
  <si>
    <t>lora1, 5k, 20b, wo jpegaug, train+syn(pair real&amp;fake), val b=1</t>
  </si>
  <si>
    <t>train 1000</t>
  </si>
  <si>
    <t>syn 1000</t>
  </si>
  <si>
    <t>pixel_f1</t>
  </si>
  <si>
    <t>pixel_p</t>
  </si>
  <si>
    <t>pixel_r</t>
  </si>
  <si>
    <t>img_f1</t>
  </si>
  <si>
    <t>img_p</t>
  </si>
  <si>
    <t>img_r</t>
  </si>
  <si>
    <t>only mask pred, det by no empty mask</t>
  </si>
  <si>
    <t>det first, if clean, empty mask</t>
  </si>
  <si>
    <t>det first, if clean, empty mask, thresh=0.75 (only det)</t>
  </si>
  <si>
    <t>det first, if clean, empty mask, thresh=0.9 (det &amp; loc)</t>
  </si>
  <si>
    <t>det first, if clean, empty mask, thresh=0.95 (det &amp; loc)</t>
  </si>
  <si>
    <t>det first, if clean, empty mask, thresh=0.99 (det &amp; loc)</t>
  </si>
  <si>
    <t>det first, if clean, empty mask, thresh=0.999 (det &amp; loc)</t>
  </si>
  <si>
    <t>50k, 512, 0.9</t>
  </si>
  <si>
    <t>50k, 512, 0.99</t>
  </si>
  <si>
    <t>lora1, 5k, 20b, wo jpegaug, train+syn(pair real&amp;fake), val b=1, imgsize786</t>
  </si>
  <si>
    <t>lora1, 5k, 20b, wo jpegaug, train+syn(pair real&amp;fake), val b=1, imgsize1024</t>
  </si>
  <si>
    <t>lora1, 5k, 20b, wo jpegaug, train+syn(pair real&amp;fake), val b=1, imgsize1280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</si>
</sst>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0_);[Red]\(0.000\)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80" fontId="1" fillId="0" borderId="0" xfId="0" applyNumberFormat="1" applyFont="1" applyFill="1" applyBorder="1" applyAlignment="1">
      <alignment horizontal="center"/>
    </xf>
    <xf numFmtId="180" fontId="1" fillId="0" borderId="0" xfId="0" applyNumberFormat="1" applyFont="1" applyFill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vertical="center" wrapText="1"/>
    </xf>
    <xf numFmtId="180" fontId="1" fillId="0" borderId="0" xfId="0" applyNumberFormat="1" applyFont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0" fillId="0" borderId="1" xfId="0" applyBorder="1">
      <alignment vertical="center"/>
    </xf>
    <xf numFmtId="0" fontId="1" fillId="0" borderId="0" xfId="0" applyFont="1" applyAlignment="1">
      <alignment vertical="center"/>
    </xf>
    <xf numFmtId="18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zoomScale="76" zoomScaleNormal="76" workbookViewId="0">
      <selection activeCell="F25" sqref="F25"/>
    </sheetView>
  </sheetViews>
  <sheetFormatPr defaultColWidth="9" defaultRowHeight="14"/>
  <cols>
    <col min="1" max="1" width="51.5545454545455" customWidth="1"/>
    <col min="6" max="6" width="9.54545454545454"/>
  </cols>
  <sheetData>
    <row r="1" spans="1:16">
      <c r="A1" s="8" t="s">
        <v>0</v>
      </c>
      <c r="B1" s="15" t="s">
        <v>1</v>
      </c>
      <c r="C1" s="15"/>
      <c r="D1" s="15"/>
      <c r="E1" s="15"/>
      <c r="F1" s="16"/>
      <c r="G1" s="17" t="s">
        <v>2</v>
      </c>
      <c r="H1" s="17"/>
      <c r="I1" s="17"/>
      <c r="J1" s="17"/>
      <c r="K1" s="8"/>
      <c r="L1" s="31"/>
      <c r="M1" s="31"/>
      <c r="N1" s="31"/>
      <c r="O1" s="31"/>
      <c r="P1" s="1"/>
    </row>
    <row r="2" spans="1:16">
      <c r="A2" s="8"/>
      <c r="B2" s="18" t="s">
        <v>3</v>
      </c>
      <c r="C2" s="18" t="s">
        <v>4</v>
      </c>
      <c r="D2" s="18" t="s">
        <v>5</v>
      </c>
      <c r="E2" s="18" t="s">
        <v>6</v>
      </c>
      <c r="F2" s="19" t="s">
        <v>7</v>
      </c>
      <c r="G2" s="20" t="s">
        <v>3</v>
      </c>
      <c r="H2" s="20" t="s">
        <v>4</v>
      </c>
      <c r="I2" s="20" t="s">
        <v>5</v>
      </c>
      <c r="J2" s="20" t="s">
        <v>6</v>
      </c>
      <c r="K2" s="25" t="s">
        <v>7</v>
      </c>
      <c r="L2" s="20"/>
      <c r="M2" s="20"/>
      <c r="N2" s="20"/>
      <c r="O2" s="20"/>
      <c r="P2" s="25"/>
    </row>
    <row r="3" ht="26" spans="1:16">
      <c r="A3" s="11" t="s">
        <v>8</v>
      </c>
      <c r="B3" s="21">
        <v>0.7771</v>
      </c>
      <c r="C3" s="21">
        <v>0.7108</v>
      </c>
      <c r="D3" s="21">
        <v>0.8109</v>
      </c>
      <c r="E3" s="21">
        <v>0.1754</v>
      </c>
      <c r="F3" s="22">
        <f>AVERAGE(B3:E3)</f>
        <v>0.61855</v>
      </c>
      <c r="G3" s="21">
        <v>0.6466</v>
      </c>
      <c r="H3" s="21">
        <v>0.822</v>
      </c>
      <c r="I3" s="21">
        <v>0.9313</v>
      </c>
      <c r="J3" s="21">
        <v>0.2068</v>
      </c>
      <c r="K3" s="25">
        <f>AVERAGE(G3:J3)</f>
        <v>0.651675</v>
      </c>
      <c r="L3" s="23"/>
      <c r="M3" s="23"/>
      <c r="N3" s="23"/>
      <c r="O3" s="23"/>
      <c r="P3" s="25"/>
    </row>
    <row r="4" ht="26" spans="1:16">
      <c r="A4" s="2" t="s">
        <v>9</v>
      </c>
      <c r="B4" s="21">
        <v>0.7852</v>
      </c>
      <c r="C4" s="21">
        <v>0.6055</v>
      </c>
      <c r="D4" s="21">
        <v>0.7772</v>
      </c>
      <c r="E4" s="21">
        <v>0.114</v>
      </c>
      <c r="F4" s="22">
        <f>AVERAGE(B4:E4)</f>
        <v>0.570475</v>
      </c>
      <c r="G4" s="23"/>
      <c r="H4" s="23"/>
      <c r="I4" s="23"/>
      <c r="J4" s="23"/>
      <c r="K4" s="25"/>
      <c r="L4" s="23"/>
      <c r="M4" s="23"/>
      <c r="N4" s="23"/>
      <c r="O4" s="23"/>
      <c r="P4" s="25"/>
    </row>
    <row r="5" ht="26" spans="1:16">
      <c r="A5" s="2" t="s">
        <v>10</v>
      </c>
      <c r="B5" s="21">
        <v>0.7814</v>
      </c>
      <c r="C5" s="21">
        <v>0.6819</v>
      </c>
      <c r="D5" s="21">
        <v>0.8046</v>
      </c>
      <c r="E5" s="21">
        <v>0.1533</v>
      </c>
      <c r="F5" s="22">
        <f>AVERAGE(B5:E5)</f>
        <v>0.6053</v>
      </c>
      <c r="G5" s="23"/>
      <c r="H5" s="23"/>
      <c r="I5" s="23"/>
      <c r="J5" s="23"/>
      <c r="K5" s="25"/>
      <c r="L5" s="23"/>
      <c r="M5" s="23"/>
      <c r="N5" s="23"/>
      <c r="O5" s="23"/>
      <c r="P5" s="25"/>
    </row>
    <row r="6" ht="26" spans="1:16">
      <c r="A6" s="2" t="s">
        <v>11</v>
      </c>
      <c r="B6" s="23"/>
      <c r="C6" s="23"/>
      <c r="D6" s="23" t="s">
        <v>12</v>
      </c>
      <c r="E6" s="23"/>
      <c r="F6" s="22"/>
      <c r="G6" s="23"/>
      <c r="H6" s="23"/>
      <c r="I6" s="23"/>
      <c r="J6" s="23"/>
      <c r="K6" s="25"/>
      <c r="L6" s="23"/>
      <c r="M6" s="23"/>
      <c r="N6" s="23"/>
      <c r="O6" s="23"/>
      <c r="P6" s="25"/>
    </row>
    <row r="7" ht="26" spans="1:16">
      <c r="A7" s="2" t="s">
        <v>13</v>
      </c>
      <c r="B7" s="21">
        <v>0.7598</v>
      </c>
      <c r="C7" s="21">
        <v>0.6932</v>
      </c>
      <c r="D7" s="21">
        <v>0.8204</v>
      </c>
      <c r="E7" s="21">
        <v>0.1644</v>
      </c>
      <c r="F7" s="22">
        <f>AVERAGE(B7:E7)</f>
        <v>0.60945</v>
      </c>
      <c r="G7" s="21">
        <v>0.7097</v>
      </c>
      <c r="H7" s="21">
        <v>0.8097</v>
      </c>
      <c r="I7" s="21">
        <v>0.9326</v>
      </c>
      <c r="J7" s="21">
        <v>0.174</v>
      </c>
      <c r="K7" s="25">
        <f>AVERAGE(G7:J7)</f>
        <v>0.6565</v>
      </c>
      <c r="L7" s="23"/>
      <c r="M7" s="23"/>
      <c r="N7" s="23"/>
      <c r="O7" s="23"/>
      <c r="P7" s="25"/>
    </row>
    <row r="8" ht="26" spans="1:16">
      <c r="A8" s="2" t="s">
        <v>14</v>
      </c>
      <c r="B8" s="21">
        <v>0.5885</v>
      </c>
      <c r="C8" s="21">
        <v>0.5882</v>
      </c>
      <c r="D8" s="21">
        <v>0.7056</v>
      </c>
      <c r="E8" s="21">
        <v>0.1364</v>
      </c>
      <c r="F8" s="22">
        <f>AVERAGE(B8:E8)</f>
        <v>0.504675</v>
      </c>
      <c r="G8" s="21">
        <v>0.3787</v>
      </c>
      <c r="H8" s="21">
        <v>0.68</v>
      </c>
      <c r="I8" s="21">
        <v>0.8061</v>
      </c>
      <c r="J8" s="21">
        <v>0.1956</v>
      </c>
      <c r="K8" s="25">
        <f t="shared" ref="K8:K10" si="0">AVERAGE(G8:J8)</f>
        <v>0.5151</v>
      </c>
      <c r="L8" s="23"/>
      <c r="M8" s="23"/>
      <c r="N8" s="23"/>
      <c r="O8" s="23"/>
      <c r="P8" s="25"/>
    </row>
    <row r="9" spans="1:16">
      <c r="A9" s="9" t="s">
        <v>15</v>
      </c>
      <c r="B9" s="21">
        <v>0.7513</v>
      </c>
      <c r="C9" s="21">
        <v>0.6921</v>
      </c>
      <c r="D9" s="21">
        <v>0.7781</v>
      </c>
      <c r="E9" s="21">
        <v>0.174</v>
      </c>
      <c r="F9" s="22">
        <f>AVERAGE(B9:E9)</f>
        <v>0.598875</v>
      </c>
      <c r="G9" s="7">
        <v>0.4813</v>
      </c>
      <c r="H9" s="23">
        <v>0.7013</v>
      </c>
      <c r="I9" s="23">
        <v>0.8633</v>
      </c>
      <c r="J9" s="23">
        <v>0.153</v>
      </c>
      <c r="K9" s="25">
        <f t="shared" si="0"/>
        <v>0.549725</v>
      </c>
      <c r="L9" s="7"/>
      <c r="M9" s="7"/>
      <c r="N9" s="7"/>
      <c r="O9" s="7"/>
      <c r="P9" s="7"/>
    </row>
    <row r="10" ht="26" spans="1:16">
      <c r="A10" s="11" t="s">
        <v>16</v>
      </c>
      <c r="B10" s="21">
        <v>0.7823</v>
      </c>
      <c r="C10" s="21">
        <v>0.7185</v>
      </c>
      <c r="D10" s="21">
        <v>0.8006</v>
      </c>
      <c r="E10" s="21">
        <v>0.1778</v>
      </c>
      <c r="F10" s="22">
        <f>AVERAGE(B10:E10)</f>
        <v>0.6198</v>
      </c>
      <c r="G10" s="21">
        <v>0.7383</v>
      </c>
      <c r="H10" s="21">
        <v>0.832</v>
      </c>
      <c r="I10" s="21">
        <v>0.9304</v>
      </c>
      <c r="J10" s="21">
        <v>0.2067</v>
      </c>
      <c r="K10" s="25">
        <f t="shared" si="0"/>
        <v>0.67685</v>
      </c>
      <c r="L10" s="32"/>
      <c r="M10" s="32"/>
      <c r="N10" s="32"/>
      <c r="O10" s="32"/>
      <c r="P10" s="32"/>
    </row>
    <row r="11" ht="26" spans="1:16">
      <c r="A11" s="2" t="s">
        <v>17</v>
      </c>
      <c r="B11" s="21">
        <v>0.8087</v>
      </c>
      <c r="C11" s="21">
        <v>0.7614</v>
      </c>
      <c r="D11" s="21">
        <v>0.8198</v>
      </c>
      <c r="E11" s="21">
        <v>0.2123</v>
      </c>
      <c r="F11" s="22">
        <f>AVERAGE(B11:E11)</f>
        <v>0.65055</v>
      </c>
      <c r="G11" s="21">
        <v>0.7383</v>
      </c>
      <c r="H11" s="21">
        <v>0.832</v>
      </c>
      <c r="I11" s="21">
        <v>0.9304</v>
      </c>
      <c r="J11" s="21">
        <v>0.2067</v>
      </c>
      <c r="K11" s="25">
        <f>AVERAGE(G11:J11)</f>
        <v>0.67685</v>
      </c>
      <c r="L11" s="32"/>
      <c r="M11" s="32"/>
      <c r="N11" s="32"/>
      <c r="O11" s="32"/>
      <c r="P11" s="32"/>
    </row>
    <row r="12" spans="1:16">
      <c r="A12" s="2" t="s">
        <v>18</v>
      </c>
      <c r="B12" s="21">
        <v>0.8222</v>
      </c>
      <c r="C12" s="21">
        <v>0.7557</v>
      </c>
      <c r="D12" s="21">
        <v>0.8276</v>
      </c>
      <c r="E12" s="21">
        <v>0.2112</v>
      </c>
      <c r="F12" s="22">
        <f>AVERAGE(B12:E12)</f>
        <v>0.654175</v>
      </c>
      <c r="G12" s="21">
        <v>0.6586</v>
      </c>
      <c r="H12" s="21">
        <v>0.8096</v>
      </c>
      <c r="I12" s="21">
        <v>0.9161</v>
      </c>
      <c r="J12" s="21">
        <v>0.21</v>
      </c>
      <c r="K12" s="25">
        <f>AVERAGE(G12:J12)</f>
        <v>0.648575</v>
      </c>
      <c r="L12" s="32"/>
      <c r="M12" s="32"/>
      <c r="N12" s="32"/>
      <c r="O12" s="32"/>
      <c r="P12" s="32"/>
    </row>
    <row r="13" spans="1:16">
      <c r="A13" s="24" t="s">
        <v>19</v>
      </c>
      <c r="B13" s="21">
        <v>0.7891</v>
      </c>
      <c r="C13" s="21">
        <v>0.6723</v>
      </c>
      <c r="D13" s="21">
        <v>0.7369</v>
      </c>
      <c r="E13" s="21">
        <v>0.2213</v>
      </c>
      <c r="F13" s="22">
        <f>AVERAGE(B13:E13)</f>
        <v>0.6049</v>
      </c>
      <c r="G13" s="23">
        <v>0.4585</v>
      </c>
      <c r="H13" s="23">
        <v>0.681</v>
      </c>
      <c r="I13" s="23">
        <v>0.7894</v>
      </c>
      <c r="J13" s="23">
        <v>0.1781</v>
      </c>
      <c r="K13" s="25">
        <f>AVERAGE(G13:J13)</f>
        <v>0.52675</v>
      </c>
      <c r="L13" s="32"/>
      <c r="M13" s="32"/>
      <c r="N13" s="32"/>
      <c r="O13" s="32"/>
      <c r="P13" s="32"/>
    </row>
    <row r="14" spans="1:16">
      <c r="A14" s="2" t="s">
        <v>20</v>
      </c>
      <c r="B14" s="23">
        <v>0.7786</v>
      </c>
      <c r="C14" s="23">
        <v>0.6994</v>
      </c>
      <c r="D14" s="23">
        <v>0.7824</v>
      </c>
      <c r="E14" s="23">
        <v>0.1947</v>
      </c>
      <c r="F14" s="22">
        <f t="shared" ref="F14:F19" si="1">AVERAGE(B14:E14)</f>
        <v>0.613775</v>
      </c>
      <c r="G14" s="23">
        <v>0.7196</v>
      </c>
      <c r="H14" s="23">
        <v>0.665</v>
      </c>
      <c r="I14" s="23">
        <v>0.7992</v>
      </c>
      <c r="J14" s="23">
        <v>0.1955</v>
      </c>
      <c r="K14" s="25">
        <f t="shared" ref="K14:K19" si="2">AVERAGE(G14:J14)</f>
        <v>0.594825</v>
      </c>
      <c r="L14" s="32"/>
      <c r="M14" s="32"/>
      <c r="N14" s="32"/>
      <c r="O14" s="32"/>
      <c r="P14" s="32"/>
    </row>
    <row r="15" spans="1:16">
      <c r="A15" s="24" t="s">
        <v>21</v>
      </c>
      <c r="B15" s="23">
        <v>0.7867</v>
      </c>
      <c r="C15" s="23">
        <v>0.6895</v>
      </c>
      <c r="D15" s="23">
        <v>0.7678</v>
      </c>
      <c r="E15" s="23">
        <v>0.1984</v>
      </c>
      <c r="F15" s="22">
        <f t="shared" si="1"/>
        <v>0.6106</v>
      </c>
      <c r="G15" s="23">
        <v>0.6484</v>
      </c>
      <c r="H15" s="23">
        <v>0.6022</v>
      </c>
      <c r="I15" s="23">
        <v>0.7288</v>
      </c>
      <c r="J15" s="23">
        <v>0.161</v>
      </c>
      <c r="K15" s="25">
        <f t="shared" si="2"/>
        <v>0.5351</v>
      </c>
      <c r="L15" s="32"/>
      <c r="M15" s="32"/>
      <c r="N15" s="32"/>
      <c r="O15" s="32"/>
      <c r="P15" s="32"/>
    </row>
    <row r="16" spans="1:16">
      <c r="A16" s="2" t="s">
        <v>22</v>
      </c>
      <c r="B16" s="23">
        <v>0.7947</v>
      </c>
      <c r="C16" s="23">
        <v>0.6578</v>
      </c>
      <c r="D16" s="23">
        <v>0.7644</v>
      </c>
      <c r="E16" s="23">
        <v>0.2033</v>
      </c>
      <c r="F16" s="22">
        <f t="shared" si="1"/>
        <v>0.60505</v>
      </c>
      <c r="G16" s="23">
        <v>0.7839</v>
      </c>
      <c r="H16" s="23">
        <v>0.6475</v>
      </c>
      <c r="I16" s="23">
        <v>0.751</v>
      </c>
      <c r="J16" s="23">
        <v>0.1593</v>
      </c>
      <c r="K16" s="25">
        <f t="shared" si="2"/>
        <v>0.585425</v>
      </c>
      <c r="L16" s="32"/>
      <c r="M16" s="32"/>
      <c r="N16" s="32"/>
      <c r="O16" s="32"/>
      <c r="P16" s="32"/>
    </row>
    <row r="17" spans="1:16">
      <c r="A17" s="14" t="s">
        <v>23</v>
      </c>
      <c r="B17" s="23">
        <v>0.6933</v>
      </c>
      <c r="C17" s="23">
        <v>0.6577</v>
      </c>
      <c r="D17" s="23">
        <v>0.7699</v>
      </c>
      <c r="E17" s="23">
        <v>0.176</v>
      </c>
      <c r="F17" s="22">
        <f t="shared" si="1"/>
        <v>0.574225</v>
      </c>
      <c r="G17" s="23">
        <v>0.7449</v>
      </c>
      <c r="H17" s="23">
        <v>0.607</v>
      </c>
      <c r="I17" s="23">
        <v>0.7498</v>
      </c>
      <c r="J17" s="23">
        <v>0.1945</v>
      </c>
      <c r="K17" s="25">
        <f t="shared" si="2"/>
        <v>0.57405</v>
      </c>
      <c r="L17" s="32"/>
      <c r="M17" s="32"/>
      <c r="N17" s="32"/>
      <c r="O17" s="32"/>
      <c r="P17" s="32"/>
    </row>
    <row r="18" spans="1:16">
      <c r="A18" s="14" t="s">
        <v>24</v>
      </c>
      <c r="B18" s="25">
        <v>0.7356</v>
      </c>
      <c r="C18" s="25">
        <v>0.5251</v>
      </c>
      <c r="D18" s="25">
        <v>0.7025</v>
      </c>
      <c r="E18" s="25">
        <v>0.1533</v>
      </c>
      <c r="F18" s="22">
        <f t="shared" si="1"/>
        <v>0.529125</v>
      </c>
      <c r="G18" s="25">
        <v>0.7134</v>
      </c>
      <c r="H18" s="25">
        <v>0.4499</v>
      </c>
      <c r="I18" s="25">
        <v>0.6846</v>
      </c>
      <c r="J18" s="25">
        <v>0.1604</v>
      </c>
      <c r="K18" s="25">
        <f t="shared" si="2"/>
        <v>0.502075</v>
      </c>
      <c r="L18" s="32"/>
      <c r="M18" s="32"/>
      <c r="N18" s="32"/>
      <c r="O18" s="32"/>
      <c r="P18" s="32"/>
    </row>
    <row r="19" spans="1:16">
      <c r="A19" s="14" t="s">
        <v>25</v>
      </c>
      <c r="B19" s="25">
        <v>0.7672</v>
      </c>
      <c r="C19" s="25">
        <v>0.4931</v>
      </c>
      <c r="D19" s="25">
        <v>0.6762</v>
      </c>
      <c r="E19" s="25">
        <v>0.1412</v>
      </c>
      <c r="F19" s="22">
        <f t="shared" si="1"/>
        <v>0.519425</v>
      </c>
      <c r="G19" s="25">
        <v>0.6814</v>
      </c>
      <c r="H19" s="25">
        <v>0.2588</v>
      </c>
      <c r="I19" s="25">
        <v>0.424</v>
      </c>
      <c r="J19" s="25">
        <v>0.1615</v>
      </c>
      <c r="K19" s="25">
        <f t="shared" si="2"/>
        <v>0.381425</v>
      </c>
      <c r="L19" s="32"/>
      <c r="M19" s="32"/>
      <c r="N19" s="32"/>
      <c r="O19" s="32"/>
      <c r="P19" s="32"/>
    </row>
    <row r="20" spans="2:11">
      <c r="B20" s="7"/>
      <c r="C20" s="7"/>
      <c r="D20" s="7"/>
      <c r="E20" s="7"/>
      <c r="F20" s="26"/>
      <c r="G20" s="7"/>
      <c r="H20" s="7"/>
      <c r="I20" s="7"/>
      <c r="J20" s="7"/>
      <c r="K20" s="7"/>
    </row>
    <row r="21" spans="2:11">
      <c r="B21" s="27"/>
      <c r="C21" s="27"/>
      <c r="D21" s="27"/>
      <c r="E21" s="27"/>
      <c r="F21" s="28"/>
      <c r="G21" s="27"/>
      <c r="H21" s="27"/>
      <c r="I21" s="27"/>
      <c r="J21" s="27"/>
      <c r="K21" s="27"/>
    </row>
    <row r="22" ht="40" customHeight="1" spans="1:11">
      <c r="A22" s="29" t="s">
        <v>26</v>
      </c>
      <c r="B22" s="7">
        <v>0.6832</v>
      </c>
      <c r="C22" s="7">
        <v>0.5238</v>
      </c>
      <c r="D22" s="7">
        <v>0.6653</v>
      </c>
      <c r="E22" s="7">
        <v>0.081</v>
      </c>
      <c r="F22" s="26">
        <f>AVERAGE(B22:E22)</f>
        <v>0.488325</v>
      </c>
      <c r="G22" s="7">
        <v>0.4631</v>
      </c>
      <c r="H22" s="7">
        <v>0.3971</v>
      </c>
      <c r="I22" s="7">
        <v>0.6141</v>
      </c>
      <c r="J22" s="7">
        <v>0.0667</v>
      </c>
      <c r="K22" s="7">
        <f>AVERAGE(G22:J22)</f>
        <v>0.38525</v>
      </c>
    </row>
    <row r="23" ht="26" spans="1:11">
      <c r="A23" s="29" t="s">
        <v>27</v>
      </c>
      <c r="B23" s="7">
        <v>0.7616</v>
      </c>
      <c r="C23" s="7">
        <v>0.6773</v>
      </c>
      <c r="D23" s="7">
        <v>0.7836</v>
      </c>
      <c r="E23" s="7">
        <v>0.1392</v>
      </c>
      <c r="F23" s="26">
        <f>AVERAGE(B23:E23)</f>
        <v>0.590425</v>
      </c>
      <c r="G23" s="7">
        <v>0.778</v>
      </c>
      <c r="H23" s="7">
        <v>0.7195</v>
      </c>
      <c r="I23" s="7">
        <v>0.8378</v>
      </c>
      <c r="J23" s="7">
        <v>0.1354</v>
      </c>
      <c r="K23" s="7">
        <f>AVERAGE(G23:J23)</f>
        <v>0.617675</v>
      </c>
    </row>
    <row r="24" spans="6:6">
      <c r="F24" s="30"/>
    </row>
    <row r="25" spans="2:11">
      <c r="B25" s="15" t="s">
        <v>1</v>
      </c>
      <c r="C25" s="15"/>
      <c r="D25" s="15"/>
      <c r="E25" s="15"/>
      <c r="F25" s="16"/>
      <c r="G25" s="17" t="s">
        <v>2</v>
      </c>
      <c r="H25" s="17"/>
      <c r="I25" s="17"/>
      <c r="J25" s="17"/>
      <c r="K25" s="8"/>
    </row>
    <row r="26" spans="2:11">
      <c r="B26" s="18" t="s">
        <v>3</v>
      </c>
      <c r="C26" s="18" t="s">
        <v>4</v>
      </c>
      <c r="D26" s="18" t="s">
        <v>5</v>
      </c>
      <c r="E26" s="18" t="s">
        <v>6</v>
      </c>
      <c r="F26" s="19" t="s">
        <v>7</v>
      </c>
      <c r="G26" s="20" t="s">
        <v>3</v>
      </c>
      <c r="H26" s="20" t="s">
        <v>4</v>
      </c>
      <c r="I26" s="20" t="s">
        <v>5</v>
      </c>
      <c r="J26" s="20" t="s">
        <v>6</v>
      </c>
      <c r="K26" s="25" t="s">
        <v>7</v>
      </c>
    </row>
    <row r="27" spans="1:6">
      <c r="A27" t="s">
        <v>28</v>
      </c>
      <c r="B27">
        <v>0.7735</v>
      </c>
      <c r="C27">
        <v>0.6892</v>
      </c>
      <c r="D27">
        <v>0.8012</v>
      </c>
      <c r="E27">
        <v>0.1823</v>
      </c>
      <c r="F27" s="30"/>
    </row>
    <row r="28" spans="2:6">
      <c r="B28">
        <v>0.7935</v>
      </c>
      <c r="C28">
        <v>0.7051</v>
      </c>
      <c r="D28">
        <v>0.8078</v>
      </c>
      <c r="E28">
        <v>0.1891</v>
      </c>
      <c r="F28" s="30"/>
    </row>
    <row r="29" spans="6:6">
      <c r="F29" s="30"/>
    </row>
    <row r="30" spans="6:6">
      <c r="F30" s="30"/>
    </row>
    <row r="31" spans="6:6">
      <c r="F31" s="30"/>
    </row>
    <row r="32" spans="6:6">
      <c r="F32" s="30"/>
    </row>
    <row r="33" spans="6:6">
      <c r="F33" s="30"/>
    </row>
    <row r="34" spans="6:6">
      <c r="F34" s="30"/>
    </row>
    <row r="35" spans="6:6">
      <c r="F35" s="30"/>
    </row>
    <row r="36" spans="6:6">
      <c r="F36" s="30"/>
    </row>
    <row r="37" spans="6:6">
      <c r="F37" s="30"/>
    </row>
    <row r="38" spans="6:6">
      <c r="F38" s="30"/>
    </row>
  </sheetData>
  <mergeCells count="4">
    <mergeCell ref="B1:E1"/>
    <mergeCell ref="G1:J1"/>
    <mergeCell ref="B25:E25"/>
    <mergeCell ref="G25:J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opLeftCell="A7" workbookViewId="0">
      <selection activeCell="A15" sqref="A15"/>
    </sheetView>
  </sheetViews>
  <sheetFormatPr defaultColWidth="9" defaultRowHeight="13"/>
  <cols>
    <col min="1" max="1" width="37.3636363636364" style="1" customWidth="1"/>
    <col min="2" max="16384" width="9" style="1"/>
  </cols>
  <sheetData>
    <row r="1" ht="26" spans="1:14">
      <c r="A1" s="2" t="s">
        <v>29</v>
      </c>
      <c r="B1" s="3" t="s">
        <v>30</v>
      </c>
      <c r="C1" s="4"/>
      <c r="D1" s="4"/>
      <c r="E1" s="4"/>
      <c r="F1" s="4"/>
      <c r="G1" s="4"/>
      <c r="I1" s="3" t="s">
        <v>31</v>
      </c>
      <c r="J1" s="4"/>
      <c r="K1" s="4"/>
      <c r="L1" s="4"/>
      <c r="M1" s="4"/>
      <c r="N1" s="4"/>
    </row>
    <row r="2" spans="2:14"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</row>
    <row r="3" spans="1:7">
      <c r="A3" s="6" t="s">
        <v>38</v>
      </c>
      <c r="B3" s="7">
        <v>0.4243</v>
      </c>
      <c r="C3" s="7">
        <v>0.2932</v>
      </c>
      <c r="D3" s="7">
        <v>0.7674</v>
      </c>
      <c r="E3" s="7">
        <v>0.6667</v>
      </c>
      <c r="F3" s="7">
        <v>0.5</v>
      </c>
      <c r="G3" s="7">
        <v>1</v>
      </c>
    </row>
    <row r="4" spans="1:7">
      <c r="A4" s="8" t="s">
        <v>39</v>
      </c>
      <c r="B4" s="7">
        <v>0.444</v>
      </c>
      <c r="C4" s="7">
        <v>0.3137</v>
      </c>
      <c r="D4" s="7">
        <v>0.7598</v>
      </c>
      <c r="E4" s="7">
        <v>0.8525</v>
      </c>
      <c r="F4" s="7">
        <v>0.7429</v>
      </c>
      <c r="G4" s="7">
        <v>1</v>
      </c>
    </row>
    <row r="5" ht="26" spans="1:7">
      <c r="A5" s="9" t="s">
        <v>40</v>
      </c>
      <c r="B5" s="7">
        <v>0.4514</v>
      </c>
      <c r="C5" s="7">
        <v>0.3226</v>
      </c>
      <c r="D5" s="7">
        <v>0.7515</v>
      </c>
      <c r="E5" s="7">
        <v>0.9302</v>
      </c>
      <c r="F5" s="7">
        <v>0.8696</v>
      </c>
      <c r="G5" s="7">
        <v>1</v>
      </c>
    </row>
    <row r="6" ht="26" spans="1:7">
      <c r="A6" s="9" t="s">
        <v>41</v>
      </c>
      <c r="B6" s="7">
        <v>0.6227</v>
      </c>
      <c r="C6" s="7">
        <v>0.571</v>
      </c>
      <c r="D6" s="7">
        <v>0.6848</v>
      </c>
      <c r="E6" s="7">
        <v>0.9615</v>
      </c>
      <c r="F6" s="7">
        <v>0.9259</v>
      </c>
      <c r="G6" s="7">
        <v>1</v>
      </c>
    </row>
    <row r="7" ht="26" spans="1:7">
      <c r="A7" s="9" t="s">
        <v>42</v>
      </c>
      <c r="B7" s="7">
        <v>0.6673</v>
      </c>
      <c r="C7" s="7">
        <v>0.6896</v>
      </c>
      <c r="D7" s="7">
        <v>0.6464</v>
      </c>
      <c r="E7" s="7">
        <v>0.9737</v>
      </c>
      <c r="F7" s="7">
        <v>0.9488</v>
      </c>
      <c r="G7" s="7">
        <v>1</v>
      </c>
    </row>
    <row r="8" ht="26" spans="1:14">
      <c r="A8" s="10" t="s">
        <v>43</v>
      </c>
      <c r="B8" s="7">
        <v>0.6727</v>
      </c>
      <c r="C8" s="7">
        <v>0.8892</v>
      </c>
      <c r="D8" s="7">
        <v>0.541</v>
      </c>
      <c r="E8" s="7">
        <v>0.992</v>
      </c>
      <c r="F8" s="7">
        <v>0.9862</v>
      </c>
      <c r="G8" s="7">
        <v>0.998</v>
      </c>
      <c r="I8" s="7">
        <v>0.6359</v>
      </c>
      <c r="J8" s="7">
        <v>0.9823</v>
      </c>
      <c r="K8" s="7">
        <v>0.4701</v>
      </c>
      <c r="L8" s="7">
        <v>0.912</v>
      </c>
      <c r="M8" s="7">
        <v>0.9838</v>
      </c>
      <c r="N8" s="7">
        <v>0.85</v>
      </c>
    </row>
    <row r="9" ht="26" spans="1:7">
      <c r="A9" s="9" t="s">
        <v>44</v>
      </c>
      <c r="B9" s="7">
        <v>0.4871</v>
      </c>
      <c r="C9" s="7">
        <v>0.9804</v>
      </c>
      <c r="D9" s="7">
        <v>0.3241</v>
      </c>
      <c r="E9" s="7">
        <v>0.9785</v>
      </c>
      <c r="F9" s="7">
        <v>1</v>
      </c>
      <c r="G9" s="7">
        <v>0.958</v>
      </c>
    </row>
    <row r="10" spans="1:7">
      <c r="A10" s="9"/>
      <c r="B10" s="7"/>
      <c r="C10" s="7"/>
      <c r="D10" s="7"/>
      <c r="E10" s="7"/>
      <c r="F10" s="7"/>
      <c r="G10" s="7"/>
    </row>
    <row r="11" spans="1:14">
      <c r="A11" s="9" t="s">
        <v>45</v>
      </c>
      <c r="B11" s="7">
        <v>0.6752</v>
      </c>
      <c r="C11" s="7">
        <v>0.6063</v>
      </c>
      <c r="D11" s="7">
        <v>0.7619</v>
      </c>
      <c r="E11" s="7">
        <v>0.9804</v>
      </c>
      <c r="F11" s="7">
        <v>0.9615</v>
      </c>
      <c r="G11" s="7">
        <v>1</v>
      </c>
      <c r="H11" s="7"/>
      <c r="I11" s="7">
        <v>0.8234</v>
      </c>
      <c r="J11" s="7">
        <v>0.952</v>
      </c>
      <c r="K11" s="7">
        <v>0.7255</v>
      </c>
      <c r="L11" s="7">
        <v>0.9452</v>
      </c>
      <c r="M11" s="7">
        <v>0.9588</v>
      </c>
      <c r="N11" s="7">
        <v>0.932</v>
      </c>
    </row>
    <row r="12" spans="1:7">
      <c r="A12" s="9" t="s">
        <v>46</v>
      </c>
      <c r="B12" s="7"/>
      <c r="C12" s="7"/>
      <c r="D12" s="7"/>
      <c r="E12" s="7"/>
      <c r="F12" s="7"/>
      <c r="G12" s="7"/>
    </row>
    <row r="13" spans="1:7">
      <c r="A13" s="9"/>
      <c r="B13" s="7"/>
      <c r="C13" s="7"/>
      <c r="D13" s="7"/>
      <c r="E13" s="7"/>
      <c r="F13" s="7"/>
      <c r="G13" s="7"/>
    </row>
    <row r="15" ht="39" spans="1:1">
      <c r="A15" s="11" t="s">
        <v>47</v>
      </c>
    </row>
    <row r="16" ht="26" spans="1:14">
      <c r="A16" s="10" t="s">
        <v>43</v>
      </c>
      <c r="B16" s="7">
        <v>0.7004</v>
      </c>
      <c r="C16" s="7">
        <v>0.9093</v>
      </c>
      <c r="D16" s="7">
        <v>0.5695</v>
      </c>
      <c r="E16" s="7">
        <v>0.991</v>
      </c>
      <c r="F16" s="7">
        <v>0.9861</v>
      </c>
      <c r="G16" s="7">
        <v>0.996</v>
      </c>
      <c r="H16" s="7"/>
      <c r="I16" s="7">
        <v>0.6733</v>
      </c>
      <c r="J16" s="7">
        <v>0.9756</v>
      </c>
      <c r="K16" s="7">
        <v>0.514</v>
      </c>
      <c r="L16" s="7">
        <v>0.9236</v>
      </c>
      <c r="M16" s="7">
        <v>0.9842</v>
      </c>
      <c r="N16" s="7">
        <v>0.87</v>
      </c>
    </row>
    <row r="17" spans="1:14">
      <c r="A17" s="12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ht="39" spans="1:14">
      <c r="A18" s="2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ht="26" spans="1:14">
      <c r="A19" s="10" t="s">
        <v>43</v>
      </c>
      <c r="B19" s="7">
        <v>0.7203</v>
      </c>
      <c r="C19" s="7">
        <v>0.9059</v>
      </c>
      <c r="D19" s="7">
        <v>0.5978</v>
      </c>
      <c r="E19" s="7">
        <v>0.995</v>
      </c>
      <c r="F19" s="7">
        <v>0.996</v>
      </c>
      <c r="G19" s="7">
        <v>0.994</v>
      </c>
      <c r="H19" s="7"/>
      <c r="I19" s="7">
        <v>0.6819</v>
      </c>
      <c r="J19" s="7">
        <v>0.9708</v>
      </c>
      <c r="K19" s="7">
        <v>0.5255</v>
      </c>
      <c r="L19" s="7">
        <v>0.9169</v>
      </c>
      <c r="M19" s="7">
        <v>0.9953</v>
      </c>
      <c r="N19" s="7">
        <v>0.85</v>
      </c>
    </row>
    <row r="20" spans="1:14">
      <c r="A20" s="12"/>
      <c r="B20" s="5" t="s">
        <v>32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37</v>
      </c>
      <c r="H20" s="1"/>
      <c r="I20" s="5" t="s">
        <v>32</v>
      </c>
      <c r="J20" s="5" t="s">
        <v>33</v>
      </c>
      <c r="K20" s="5" t="s">
        <v>34</v>
      </c>
      <c r="L20" s="5" t="s">
        <v>35</v>
      </c>
      <c r="M20" s="5" t="s">
        <v>36</v>
      </c>
      <c r="N20" s="5" t="s">
        <v>37</v>
      </c>
    </row>
    <row r="21" ht="39" spans="1:14">
      <c r="A21" s="2" t="s">
        <v>49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>
      <c r="A22" s="2">
        <v>0.5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>
      <c r="A23" s="2">
        <v>0.7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A24" s="2">
        <v>0.9</v>
      </c>
      <c r="B24" s="7"/>
      <c r="C24" s="7"/>
      <c r="D24" s="7"/>
      <c r="E24" s="7"/>
      <c r="F24" s="7"/>
      <c r="G24" s="7"/>
      <c r="H24" s="7"/>
      <c r="I24" s="7">
        <v>0.7332</v>
      </c>
      <c r="J24" s="7"/>
      <c r="K24" s="7"/>
      <c r="L24" s="7">
        <v>0.9315</v>
      </c>
      <c r="M24" s="7"/>
      <c r="N24" s="7"/>
    </row>
    <row r="25" ht="26" spans="1:14">
      <c r="A25" s="10" t="s">
        <v>42</v>
      </c>
      <c r="B25" s="7">
        <v>0.761</v>
      </c>
      <c r="C25" s="7">
        <v>0.8916</v>
      </c>
      <c r="D25" s="7">
        <v>0.6637</v>
      </c>
      <c r="E25" s="7">
        <v>0.996</v>
      </c>
      <c r="F25" s="7">
        <v>0.994</v>
      </c>
      <c r="G25" s="7">
        <v>0.998</v>
      </c>
      <c r="H25" s="7"/>
      <c r="I25" s="7">
        <v>0.725</v>
      </c>
      <c r="J25" s="7">
        <v>0.9463</v>
      </c>
      <c r="K25" s="7">
        <v>0.5877</v>
      </c>
      <c r="L25" s="7">
        <v>0.9309</v>
      </c>
      <c r="M25" s="7">
        <v>0.9932</v>
      </c>
      <c r="N25" s="7">
        <v>0.876</v>
      </c>
    </row>
    <row r="26" ht="26" spans="1:14">
      <c r="A26" s="10" t="s">
        <v>43</v>
      </c>
      <c r="B26" s="7">
        <v>0.7367</v>
      </c>
      <c r="C26" s="7">
        <v>0.941</v>
      </c>
      <c r="D26" s="7">
        <v>0.6053</v>
      </c>
      <c r="E26" s="7">
        <v>0.994</v>
      </c>
      <c r="F26" s="7">
        <v>0.998</v>
      </c>
      <c r="G26" s="7">
        <v>0.99</v>
      </c>
      <c r="H26" s="7"/>
      <c r="I26" s="7">
        <v>0.6942</v>
      </c>
      <c r="J26" s="7">
        <v>0.9679</v>
      </c>
      <c r="K26" s="7">
        <v>0.5412</v>
      </c>
      <c r="L26" s="7">
        <v>0.9237</v>
      </c>
      <c r="M26" s="7">
        <v>0.9977</v>
      </c>
      <c r="N26" s="7">
        <v>0.86</v>
      </c>
    </row>
    <row r="27" spans="1:14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">
      <c r="A28" s="13"/>
    </row>
    <row r="29" spans="1:1">
      <c r="A29" s="14" t="s">
        <v>25</v>
      </c>
    </row>
    <row r="30" ht="26" spans="1:14">
      <c r="A30" s="10" t="s">
        <v>43</v>
      </c>
      <c r="B30" s="7">
        <v>0.6993</v>
      </c>
      <c r="C30" s="7">
        <v>0.9406</v>
      </c>
      <c r="D30" s="7">
        <v>0.5565</v>
      </c>
      <c r="E30" s="7">
        <v>0.995</v>
      </c>
      <c r="F30" s="7">
        <v>0.998</v>
      </c>
      <c r="G30" s="7">
        <v>0.992</v>
      </c>
      <c r="I30" s="7">
        <v>0.0013</v>
      </c>
      <c r="J30" s="7">
        <v>0.821</v>
      </c>
      <c r="K30" s="7">
        <v>0.0006</v>
      </c>
      <c r="L30" s="7">
        <v>0.019</v>
      </c>
      <c r="M30" s="7">
        <v>0.8333</v>
      </c>
      <c r="N30" s="7">
        <v>0.01</v>
      </c>
    </row>
  </sheetData>
  <mergeCells count="2">
    <mergeCell ref="B1:G1"/>
    <mergeCell ref="I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Jason</cp:lastModifiedBy>
  <dcterms:created xsi:type="dcterms:W3CDTF">2023-05-12T11:15:00Z</dcterms:created>
  <dcterms:modified xsi:type="dcterms:W3CDTF">2026-05-31T05:16:36Z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FFAB0257EA6547B09A0B1FE33F4F4EE1_12</vt:lpwstr>
  </property>
</Properties>
</file>